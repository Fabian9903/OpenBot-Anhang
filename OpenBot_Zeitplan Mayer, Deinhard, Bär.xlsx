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_{3371B3F5-335D-4E7C-97B1-F2DC56048B5C}" xr6:coauthVersionLast="47" xr6:coauthVersionMax="47" xr10:uidLastSave="{00000000-0000-0000-0000-000000000000}"/>
  <bookViews>
    <workbookView xWindow="-120" yWindow="-120" windowWidth="29040" windowHeight="15720"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1" l="1"/>
  <c r="F9" i="11"/>
  <c r="E10" i="11"/>
  <c r="E9" i="11"/>
  <c r="H7" i="11"/>
  <c r="AK4" i="11" l="1"/>
  <c r="I5" i="11"/>
  <c r="E13" i="11"/>
  <c r="H22" i="11"/>
  <c r="H21" i="11"/>
  <c r="H20" i="11"/>
  <c r="H14" i="11"/>
  <c r="H8" i="11"/>
  <c r="I4" i="11" l="1"/>
  <c r="J5" i="11"/>
  <c r="I6" i="11"/>
  <c r="F13" i="11"/>
  <c r="E11" i="11"/>
  <c r="H9" i="11"/>
  <c r="F11" i="11" l="1"/>
  <c r="E12" i="11"/>
  <c r="E15" i="11"/>
  <c r="F15" i="11" s="1"/>
  <c r="E16" i="11" s="1"/>
  <c r="F12" i="11"/>
  <c r="H10" i="11"/>
  <c r="H13" i="11"/>
  <c r="F16" i="11" l="1"/>
  <c r="E17" i="11" s="1"/>
  <c r="F17" i="11" s="1"/>
  <c r="E18" i="11" s="1"/>
  <c r="F18" i="11" s="1"/>
  <c r="H15" i="11"/>
  <c r="K5" i="11"/>
  <c r="J6" i="11"/>
  <c r="H11" i="11"/>
  <c r="H12" i="11"/>
  <c r="H16" i="11" l="1"/>
  <c r="H18" i="11"/>
  <c r="L5" i="11"/>
  <c r="K6" i="11"/>
  <c r="H19" i="11"/>
  <c r="H17"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M5" i="11" l="1"/>
  <c r="AL6" i="11"/>
  <c r="AN5" i="11" l="1"/>
  <c r="AM6" i="11"/>
  <c r="AO5" i="11" l="1"/>
  <c r="AN6" i="11"/>
  <c r="AP5" i="11" l="1"/>
  <c r="AO6" i="11"/>
  <c r="AQ5" i="11" l="1"/>
  <c r="AP6" i="11"/>
  <c r="AQ6" i="11" l="1"/>
</calcChain>
</file>

<file path=xl/sharedStrings.xml><?xml version="1.0" encoding="utf-8"?>
<sst xmlns="http://schemas.openxmlformats.org/spreadsheetml/2006/main" count="70" uniqueCount="63">
  <si>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</si>
  <si>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Openbot</t>
  </si>
  <si>
    <t>EINFACHES GANTT-DIAGRAMM von Vertex42.com</t>
  </si>
  <si>
    <t>Geben Sie den Firmennamen in Zelle B2 ein.</t>
  </si>
  <si>
    <t>Technikerschule Neumarkt</t>
  </si>
  <si>
    <t>https://www.vertex42.com/ExcelTemplates/simple-gantt-chart.html</t>
  </si>
  <si>
    <t>Geben Sie den Namen des Projektleiters in Zelle B3 ein. Geben Sie das Startdatum für das Projekt in Zelle E3 ein. Start des Projekts: Die Bezeichnung steht in Zelle C3.</t>
  </si>
  <si>
    <t>Anna, Mayer</t>
  </si>
  <si>
    <t>Projektanfang:</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</si>
  <si>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</si>
  <si>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Start Woche 1 weiter Woche 10</t>
  </si>
  <si>
    <t>Anzeigewoche:</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</si>
  <si>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</si>
  <si>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</si>
  <si>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AUFGABE</t>
  </si>
  <si>
    <t>ZUGEWIESEN
AN</t>
  </si>
  <si>
    <t>FORTSCHRITT</t>
  </si>
  <si>
    <t>START</t>
  </si>
  <si>
    <t>ENDE</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</si>
  <si>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</si>
  <si>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</si>
  <si>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</si>
  <si>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Phase 1 Titel</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</si>
  <si>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</si>
  <si>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Planung</t>
  </si>
  <si>
    <t>Anna, Fabian, Alexander</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</si>
  <si>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</si>
  <si>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Vormontage</t>
  </si>
  <si>
    <t>Anna</t>
  </si>
  <si>
    <t>y</t>
  </si>
  <si>
    <t>Konstruieren</t>
  </si>
  <si>
    <t>Verkabeln</t>
  </si>
  <si>
    <t>Alexander</t>
  </si>
  <si>
    <t>Endmontage</t>
  </si>
  <si>
    <t>Anna, Alexander</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</si>
  <si>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</si>
  <si>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Phase 2 Titel</t>
  </si>
  <si>
    <t>Programmieren</t>
  </si>
  <si>
    <t>Fabian</t>
  </si>
  <si>
    <t>Testen</t>
  </si>
  <si>
    <t>Anna, Alexander, Fabian</t>
  </si>
  <si>
    <t>Neuronales Netz Antrainieren</t>
  </si>
  <si>
    <t>Anpassungsarbeiten</t>
  </si>
  <si>
    <t>Zusatzaufgabe</t>
  </si>
  <si>
    <t>Titelblock für Beispielphase</t>
  </si>
  <si>
    <t>Phase 3 Titel</t>
  </si>
  <si>
    <t>Dies ist eine leere Zeile.</t>
  </si>
  <si>
    <t>Diese Zeile kennzeichnet das Ende des Projektplans. Geben Sie in dieser Zeile NICHTS EIN. 
Fügen Sie ÜBER dieser Zeile neue Zeilen ein, um mit der Erstellung Ihres Projektplans fortzufahren.</t>
  </si>
  <si>
    <t>Neue Zeilen ÜBER dieser einfügen</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</si>
  <si>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</si>
  <si>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</si>
  <si>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</si>
  <si>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</si>
  <si>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</si>
  <si>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</si>
  <si>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</si>
  <si>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</si>
  <si>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</si>
  <si>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</si>
  <si>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</si>
  <si>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</si>
  <si>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</si>
  <si>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Dokumentation erstellen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</si>
</sst>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
  </numFmts>
  <fonts count="3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22"/>
      <color theme="1"/>
      <name val="Calibri"/>
      <family val="2"/>
      <scheme val="major"/>
    </font>
  </fonts>
  <fills count="4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1" borderId="0" applyNumberFormat="0" applyBorder="0" applyAlignment="0" applyProtection="0"/>
    <xf numFmtId="0" fontId="28" fillId="12" borderId="0" applyNumberFormat="0" applyBorder="0" applyAlignment="0" applyProtection="0"/>
    <xf numFmtId="0" fontId="29" fillId="13" borderId="0" applyNumberFormat="0" applyBorder="0" applyAlignment="0" applyProtection="0"/>
    <xf numFmtId="0" fontId="30" fillId="14" borderId="11" applyNumberFormat="0" applyAlignment="0" applyProtection="0"/>
    <xf numFmtId="0" fontId="31" fillId="15" borderId="12" applyNumberFormat="0" applyAlignment="0" applyProtection="0"/>
    <xf numFmtId="0" fontId="32" fillId="15" borderId="11" applyNumberFormat="0" applyAlignment="0" applyProtection="0"/>
    <xf numFmtId="0" fontId="33" fillId="0" borderId="13" applyNumberFormat="0" applyFill="0" applyAlignment="0" applyProtection="0"/>
    <xf numFmtId="0" fontId="34" fillId="16" borderId="14" applyNumberFormat="0" applyAlignment="0" applyProtection="0"/>
    <xf numFmtId="0" fontId="35" fillId="0" borderId="0" applyNumberFormat="0" applyFill="0" applyBorder="0" applyAlignment="0" applyProtection="0"/>
    <xf numFmtId="0" fontId="9" fillId="17"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2"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2"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2"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22"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cellStyleXfs>
  <cellXfs count="7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0" borderId="1" xfId="0" applyFont="1" applyFill="1" applyBorder="1" applyAlignment="1">
      <alignment horizontal="left" vertical="center" indent="1"/>
    </xf>
    <xf numFmtId="0" fontId="7" fillId="10" borderId="1" xfId="0" applyFont="1" applyFill="1" applyBorder="1" applyAlignment="1">
      <alignment horizontal="center" vertical="center" wrapText="1"/>
    </xf>
    <xf numFmtId="0" fontId="12" fillId="9"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7" borderId="2" xfId="0" applyNumberFormat="1" applyFill="1" applyBorder="1" applyAlignment="1">
      <alignment horizontal="center" vertical="center"/>
    </xf>
    <xf numFmtId="166" fontId="5" fillId="7" borderId="2" xfId="0" applyNumberFormat="1" applyFont="1" applyFill="1" applyBorder="1" applyAlignment="1">
      <alignment horizontal="center" vertical="center"/>
    </xf>
    <xf numFmtId="166" fontId="9" fillId="3" borderId="2" xfId="10" applyFill="1">
      <alignment horizontal="center" vertical="center"/>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4"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6" borderId="6" xfId="0" applyNumberFormat="1" applyFont="1" applyFill="1" applyBorder="1" applyAlignment="1">
      <alignment horizontal="center" vertical="center"/>
    </xf>
    <xf numFmtId="169" fontId="11" fillId="6" borderId="0" xfId="0" applyNumberFormat="1" applyFont="1" applyFill="1" applyAlignment="1">
      <alignment horizontal="center" vertical="center"/>
    </xf>
    <xf numFmtId="169" fontId="11" fillId="6" borderId="7" xfId="0" applyNumberFormat="1" applyFont="1" applyFill="1" applyBorder="1" applyAlignment="1">
      <alignment horizontal="center" vertical="center"/>
    </xf>
    <xf numFmtId="0" fontId="37" fillId="0" borderId="0" xfId="5" applyFont="1" applyAlignment="1">
      <alignment horizontal="left"/>
    </xf>
    <xf numFmtId="0" fontId="0" fillId="42" borderId="0" xfId="0" applyFill="1"/>
    <xf numFmtId="0" fontId="9" fillId="0" borderId="0" xfId="8">
      <alignment horizontal="right" indent="1"/>
    </xf>
    <xf numFmtId="0" fontId="9" fillId="0" borderId="7" xfId="8" applyBorder="1">
      <alignment horizontal="right" indent="1"/>
    </xf>
    <xf numFmtId="168" fontId="0" fillId="6" borderId="4" xfId="0" applyNumberFormat="1" applyFill="1" applyBorder="1" applyAlignment="1">
      <alignment horizontal="left" vertical="center" wrapText="1" indent="1"/>
    </xf>
    <xf numFmtId="168" fontId="0" fillId="6" borderId="1" xfId="0" applyNumberFormat="1" applyFill="1" applyBorder="1" applyAlignment="1">
      <alignment horizontal="left" vertical="center" wrapText="1" indent="1"/>
    </xf>
    <xf numFmtId="168" fontId="0" fillId="6" borderId="5" xfId="0" applyNumberFormat="1" applyFill="1" applyBorder="1" applyAlignment="1">
      <alignment horizontal="left" vertical="center" wrapText="1" indent="1"/>
    </xf>
    <xf numFmtId="167" fontId="9" fillId="0" borderId="3" xfId="9">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Grü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S25"/>
  <sheetViews>
    <sheetView showGridLines="0" tabSelected="1" showRuler="0" zoomScale="130" zoomScaleNormal="130" zoomScalePageLayoutView="70" workbookViewId="0">
      <pane ySplit="6" topLeftCell="A15" activePane="bottomLeft" state="frozen"/>
      <selection pane="bottomLeft" activeCell="C22" sqref="C22"/>
    </sheetView>
  </sheetViews>
  <sheetFormatPr baseColWidth="10" defaultColWidth="9.140625" defaultRowHeight="30" customHeight="1" x14ac:dyDescent="0.25"/>
  <cols>
    <col min="1" max="1" width="2.7109375" style="40" customWidth="1"/>
    <col min="2" max="2" width="30.5703125" bestFit="1"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45" ht="30" customHeight="1" x14ac:dyDescent="0.45">
      <c r="A1" s="41" t="s">
        <v>0</v>
      </c>
      <c r="B1" s="70" t="s">
        <v>1</v>
      </c>
      <c r="C1" s="1"/>
      <c r="D1" s="2"/>
      <c r="E1" s="4"/>
      <c r="F1" s="29"/>
      <c r="H1" s="2"/>
      <c r="I1" s="54" t="s">
        <v>2</v>
      </c>
      <c r="AR1" s="71"/>
      <c r="AS1" s="71"/>
    </row>
    <row r="2" spans="1:45" ht="30" customHeight="1" x14ac:dyDescent="0.3">
      <c r="A2" s="40" t="s">
        <v>3</v>
      </c>
      <c r="B2" s="44" t="s">
        <v>4</v>
      </c>
      <c r="I2" s="55" t="s">
        <v>5</v>
      </c>
      <c r="AR2" s="71"/>
      <c r="AS2" s="71"/>
    </row>
    <row r="3" spans="1:45" ht="30" customHeight="1" x14ac:dyDescent="0.25">
      <c r="A3" s="40" t="s">
        <v>6</v>
      </c>
      <c r="B3" s="45" t="s">
        <v>7</v>
      </c>
      <c r="C3" s="72" t="s">
        <v>8</v>
      </c>
      <c r="D3" s="73"/>
      <c r="E3" s="77">
        <v>45847</v>
      </c>
      <c r="F3" s="77"/>
      <c r="AR3" s="71"/>
      <c r="AS3" s="71"/>
    </row>
    <row r="4" spans="1:45" ht="30" customHeight="1" x14ac:dyDescent="0.25">
      <c r="A4" s="41" t="s">
        <v>9</v>
      </c>
      <c r="B4" t="s">
        <v>10</v>
      </c>
      <c r="C4" s="72" t="s">
        <v>11</v>
      </c>
      <c r="D4" s="73"/>
      <c r="E4" s="7">
        <v>4</v>
      </c>
      <c r="I4" s="74">
        <f>I5</f>
        <v>45847</v>
      </c>
      <c r="J4" s="75"/>
      <c r="K4" s="75"/>
      <c r="L4" s="75"/>
      <c r="M4" s="75"/>
      <c r="N4" s="75"/>
      <c r="O4" s="76"/>
      <c r="P4" s="74">
        <f>P5</f>
        <v>45854</v>
      </c>
      <c r="Q4" s="75"/>
      <c r="R4" s="75"/>
      <c r="S4" s="75"/>
      <c r="T4" s="75"/>
      <c r="U4" s="75"/>
      <c r="V4" s="76"/>
      <c r="W4" s="74">
        <f>W5</f>
        <v>45861</v>
      </c>
      <c r="X4" s="75"/>
      <c r="Y4" s="75"/>
      <c r="Z4" s="75"/>
      <c r="AA4" s="75"/>
      <c r="AB4" s="75"/>
      <c r="AC4" s="76"/>
      <c r="AD4" s="74">
        <f>AD5</f>
        <v>45868</v>
      </c>
      <c r="AE4" s="75"/>
      <c r="AF4" s="75"/>
      <c r="AG4" s="75"/>
      <c r="AH4" s="75"/>
      <c r="AI4" s="75"/>
      <c r="AJ4" s="76"/>
      <c r="AK4" s="74">
        <f>Projektanfang+74</f>
        <v>45921</v>
      </c>
      <c r="AL4" s="75"/>
      <c r="AM4" s="75"/>
      <c r="AN4" s="75"/>
      <c r="AO4" s="75"/>
      <c r="AP4" s="75"/>
      <c r="AQ4" s="76"/>
    </row>
    <row r="5" spans="1:45" ht="15" customHeight="1" x14ac:dyDescent="0.25">
      <c r="A5" s="41" t="s">
        <v>12</v>
      </c>
      <c r="B5" s="53"/>
      <c r="C5" s="53"/>
      <c r="D5" s="53"/>
      <c r="E5" s="53"/>
      <c r="F5" s="53"/>
      <c r="G5" s="53"/>
      <c r="I5" s="67">
        <f>Projektanfang</f>
        <v>45847</v>
      </c>
      <c r="J5" s="68">
        <f>I5+1</f>
        <v>45848</v>
      </c>
      <c r="K5" s="68">
        <f t="shared" ref="K5:AQ5" si="0">J5+1</f>
        <v>45849</v>
      </c>
      <c r="L5" s="68">
        <f t="shared" si="0"/>
        <v>45850</v>
      </c>
      <c r="M5" s="68">
        <f t="shared" si="0"/>
        <v>45851</v>
      </c>
      <c r="N5" s="68">
        <f t="shared" si="0"/>
        <v>45852</v>
      </c>
      <c r="O5" s="69">
        <f t="shared" si="0"/>
        <v>45853</v>
      </c>
      <c r="P5" s="67">
        <f>O5+1</f>
        <v>45854</v>
      </c>
      <c r="Q5" s="68">
        <f>P5+1</f>
        <v>45855</v>
      </c>
      <c r="R5" s="68">
        <f t="shared" si="0"/>
        <v>45856</v>
      </c>
      <c r="S5" s="68">
        <f t="shared" si="0"/>
        <v>45857</v>
      </c>
      <c r="T5" s="68">
        <f t="shared" si="0"/>
        <v>45858</v>
      </c>
      <c r="U5" s="68">
        <f t="shared" si="0"/>
        <v>45859</v>
      </c>
      <c r="V5" s="69">
        <f t="shared" si="0"/>
        <v>45860</v>
      </c>
      <c r="W5" s="67">
        <f>V5+1</f>
        <v>45861</v>
      </c>
      <c r="X5" s="68">
        <f>W5+1</f>
        <v>45862</v>
      </c>
      <c r="Y5" s="68">
        <f t="shared" si="0"/>
        <v>45863</v>
      </c>
      <c r="Z5" s="68">
        <f t="shared" si="0"/>
        <v>45864</v>
      </c>
      <c r="AA5" s="68">
        <f t="shared" si="0"/>
        <v>45865</v>
      </c>
      <c r="AB5" s="68">
        <f t="shared" si="0"/>
        <v>45866</v>
      </c>
      <c r="AC5" s="69">
        <f t="shared" si="0"/>
        <v>45867</v>
      </c>
      <c r="AD5" s="67">
        <f>AC5+1</f>
        <v>45868</v>
      </c>
      <c r="AE5" s="68">
        <f>AD5+1</f>
        <v>45869</v>
      </c>
      <c r="AF5" s="68">
        <f t="shared" si="0"/>
        <v>45870</v>
      </c>
      <c r="AG5" s="68">
        <f t="shared" si="0"/>
        <v>45871</v>
      </c>
      <c r="AH5" s="68">
        <f t="shared" si="0"/>
        <v>45872</v>
      </c>
      <c r="AI5" s="68">
        <f t="shared" si="0"/>
        <v>45873</v>
      </c>
      <c r="AJ5" s="69">
        <f t="shared" si="0"/>
        <v>45874</v>
      </c>
      <c r="AK5" s="67">
        <f>AJ5+1</f>
        <v>45875</v>
      </c>
      <c r="AL5" s="68">
        <f>AK5+1</f>
        <v>45876</v>
      </c>
      <c r="AM5" s="68">
        <f t="shared" si="0"/>
        <v>45877</v>
      </c>
      <c r="AN5" s="68">
        <f t="shared" si="0"/>
        <v>45878</v>
      </c>
      <c r="AO5" s="68">
        <f t="shared" si="0"/>
        <v>45879</v>
      </c>
      <c r="AP5" s="68">
        <f t="shared" si="0"/>
        <v>45880</v>
      </c>
      <c r="AQ5" s="69">
        <f t="shared" si="0"/>
        <v>45881</v>
      </c>
    </row>
    <row r="6" spans="1:45" ht="30" customHeight="1" thickBot="1" x14ac:dyDescent="0.3">
      <c r="A6" s="41" t="s">
        <v>13</v>
      </c>
      <c r="B6" s="8" t="s">
        <v>14</v>
      </c>
      <c r="C6" s="9" t="s">
        <v>15</v>
      </c>
      <c r="D6" s="9" t="s">
        <v>16</v>
      </c>
      <c r="E6" s="9" t="s">
        <v>17</v>
      </c>
      <c r="F6" s="9" t="s">
        <v>18</v>
      </c>
      <c r="G6" s="9"/>
      <c r="H6" s="9" t="s">
        <v>19</v>
      </c>
      <c r="I6" s="10" t="str">
        <f t="shared" ref="I6:AN6" si="1">LEFT(TEXT(I5,"TTTT"),1)</f>
        <v>M</v>
      </c>
      <c r="J6" s="10" t="str">
        <f t="shared" si="1"/>
        <v>D</v>
      </c>
      <c r="K6" s="10" t="str">
        <f t="shared" si="1"/>
        <v>F</v>
      </c>
      <c r="L6" s="10" t="str">
        <f t="shared" si="1"/>
        <v>S</v>
      </c>
      <c r="M6" s="10" t="str">
        <f t="shared" si="1"/>
        <v>S</v>
      </c>
      <c r="N6" s="10" t="str">
        <f t="shared" si="1"/>
        <v>M</v>
      </c>
      <c r="O6" s="10" t="str">
        <f t="shared" si="1"/>
        <v>D</v>
      </c>
      <c r="P6" s="10" t="str">
        <f t="shared" si="1"/>
        <v>M</v>
      </c>
      <c r="Q6" s="10" t="str">
        <f t="shared" si="1"/>
        <v>D</v>
      </c>
      <c r="R6" s="10" t="str">
        <f t="shared" si="1"/>
        <v>F</v>
      </c>
      <c r="S6" s="10" t="str">
        <f t="shared" si="1"/>
        <v>S</v>
      </c>
      <c r="T6" s="10" t="str">
        <f t="shared" si="1"/>
        <v>S</v>
      </c>
      <c r="U6" s="10" t="str">
        <f t="shared" si="1"/>
        <v>M</v>
      </c>
      <c r="V6" s="10" t="str">
        <f t="shared" si="1"/>
        <v>D</v>
      </c>
      <c r="W6" s="10" t="str">
        <f t="shared" si="1"/>
        <v>M</v>
      </c>
      <c r="X6" s="10" t="str">
        <f t="shared" si="1"/>
        <v>D</v>
      </c>
      <c r="Y6" s="10" t="str">
        <f t="shared" si="1"/>
        <v>F</v>
      </c>
      <c r="Z6" s="10" t="str">
        <f t="shared" si="1"/>
        <v>S</v>
      </c>
      <c r="AA6" s="10" t="str">
        <f t="shared" si="1"/>
        <v>S</v>
      </c>
      <c r="AB6" s="10" t="str">
        <f t="shared" si="1"/>
        <v>M</v>
      </c>
      <c r="AC6" s="10" t="str">
        <f t="shared" si="1"/>
        <v>D</v>
      </c>
      <c r="AD6" s="10" t="str">
        <f t="shared" si="1"/>
        <v>M</v>
      </c>
      <c r="AE6" s="10" t="str">
        <f t="shared" si="1"/>
        <v>D</v>
      </c>
      <c r="AF6" s="10" t="str">
        <f t="shared" si="1"/>
        <v>F</v>
      </c>
      <c r="AG6" s="10" t="str">
        <f t="shared" si="1"/>
        <v>S</v>
      </c>
      <c r="AH6" s="10" t="str">
        <f t="shared" si="1"/>
        <v>S</v>
      </c>
      <c r="AI6" s="10" t="str">
        <f t="shared" si="1"/>
        <v>M</v>
      </c>
      <c r="AJ6" s="10" t="str">
        <f t="shared" si="1"/>
        <v>D</v>
      </c>
      <c r="AK6" s="10" t="str">
        <f t="shared" si="1"/>
        <v>M</v>
      </c>
      <c r="AL6" s="10" t="str">
        <f t="shared" si="1"/>
        <v>D</v>
      </c>
      <c r="AM6" s="10" t="str">
        <f t="shared" si="1"/>
        <v>F</v>
      </c>
      <c r="AN6" s="10" t="str">
        <f t="shared" si="1"/>
        <v>S</v>
      </c>
      <c r="AO6" s="10" t="str">
        <f t="shared" ref="AO6:AQ6" si="2">LEFT(TEXT(AO5,"TTTT"),1)</f>
        <v>S</v>
      </c>
      <c r="AP6" s="10" t="str">
        <f t="shared" si="2"/>
        <v>M</v>
      </c>
      <c r="AQ6" s="10" t="str">
        <f t="shared" si="2"/>
        <v>D</v>
      </c>
    </row>
    <row r="7" spans="1:45" ht="30" hidden="1" customHeight="1" thickBot="1" x14ac:dyDescent="0.3">
      <c r="A7" s="40" t="s">
        <v>20</v>
      </c>
      <c r="C7" s="43"/>
      <c r="E7"/>
      <c r="H7" t="str">
        <f>IF(OR(ISBLANK(task_start),ISBLANK(task_end)),"",task_end-task_start+1)</f>
        <v/>
      </c>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row>
    <row r="8" spans="1:45" s="3" customFormat="1" ht="30" customHeight="1" thickBot="1" x14ac:dyDescent="0.3">
      <c r="A8" s="41" t="s">
        <v>21</v>
      </c>
      <c r="B8" s="14" t="s">
        <v>22</v>
      </c>
      <c r="C8" s="46"/>
      <c r="D8" s="15"/>
      <c r="E8" s="57"/>
      <c r="F8" s="58"/>
      <c r="G8" s="13"/>
      <c r="H8" s="13" t="str">
        <f t="shared" ref="H8:H22" si="3">IF(OR(ISBLANK(task_start),ISBLANK(task_end)),"",task_end-task_start+1)</f>
        <v/>
      </c>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row>
    <row r="9" spans="1:45" s="3" customFormat="1" ht="30" customHeight="1" thickBot="1" x14ac:dyDescent="0.3">
      <c r="A9" s="41" t="s">
        <v>23</v>
      </c>
      <c r="B9" s="51" t="s">
        <v>24</v>
      </c>
      <c r="C9" s="47" t="s">
        <v>25</v>
      </c>
      <c r="D9" s="16">
        <v>1</v>
      </c>
      <c r="E9" s="59">
        <f>Projektanfang</f>
        <v>45847</v>
      </c>
      <c r="F9" s="59">
        <f>E9+1</f>
        <v>45848</v>
      </c>
      <c r="G9" s="13"/>
      <c r="H9" s="13">
        <f t="shared" si="3"/>
        <v>2</v>
      </c>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row>
    <row r="10" spans="1:45" s="3" customFormat="1" ht="30" customHeight="1" thickBot="1" x14ac:dyDescent="0.3">
      <c r="A10" s="41" t="s">
        <v>26</v>
      </c>
      <c r="B10" s="51" t="s">
        <v>27</v>
      </c>
      <c r="C10" s="47" t="s">
        <v>28</v>
      </c>
      <c r="D10" s="16">
        <v>1</v>
      </c>
      <c r="E10" s="59">
        <f>F9</f>
        <v>45848</v>
      </c>
      <c r="F10" s="59">
        <f>E10+2</f>
        <v>45850</v>
      </c>
      <c r="G10" s="13"/>
      <c r="H10" s="13">
        <f t="shared" si="3"/>
        <v>3</v>
      </c>
      <c r="I10" s="26"/>
      <c r="J10" s="26"/>
      <c r="K10" s="26"/>
      <c r="L10" s="26"/>
      <c r="M10" s="26"/>
      <c r="N10" s="26"/>
      <c r="O10" s="26"/>
      <c r="P10" s="26"/>
      <c r="Q10" s="26"/>
      <c r="R10" s="26"/>
      <c r="S10" s="26"/>
      <c r="T10" s="26"/>
      <c r="U10" s="27"/>
      <c r="V10" s="27"/>
      <c r="W10" s="26"/>
      <c r="X10" s="26"/>
      <c r="Y10" s="26"/>
      <c r="Z10" s="26"/>
      <c r="AA10" s="26"/>
      <c r="AB10" s="26"/>
      <c r="AC10" s="26"/>
      <c r="AD10" s="26"/>
      <c r="AE10" s="26" t="s">
        <v>29</v>
      </c>
      <c r="AF10" s="26"/>
      <c r="AG10" s="26"/>
      <c r="AH10" s="26"/>
      <c r="AI10" s="26"/>
      <c r="AJ10" s="26"/>
      <c r="AK10" s="26"/>
      <c r="AL10" s="26"/>
      <c r="AM10" s="26"/>
      <c r="AN10" s="26"/>
      <c r="AO10" s="26"/>
      <c r="AP10" s="26"/>
      <c r="AQ10" s="26"/>
    </row>
    <row r="11" spans="1:45" s="3" customFormat="1" ht="30" customHeight="1" thickBot="1" x14ac:dyDescent="0.3">
      <c r="A11" s="40"/>
      <c r="B11" s="51" t="s">
        <v>30</v>
      </c>
      <c r="C11" s="47" t="s">
        <v>28</v>
      </c>
      <c r="D11" s="16">
        <v>1</v>
      </c>
      <c r="E11" s="59">
        <f>F10</f>
        <v>45850</v>
      </c>
      <c r="F11" s="59">
        <f>E11+2</f>
        <v>45852</v>
      </c>
      <c r="G11" s="13"/>
      <c r="H11" s="13">
        <f t="shared" si="3"/>
        <v>3</v>
      </c>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row>
    <row r="12" spans="1:45" s="3" customFormat="1" ht="30" customHeight="1" thickBot="1" x14ac:dyDescent="0.3">
      <c r="A12" s="40"/>
      <c r="B12" s="51" t="s">
        <v>31</v>
      </c>
      <c r="C12" s="47" t="s">
        <v>32</v>
      </c>
      <c r="D12" s="16">
        <v>1</v>
      </c>
      <c r="E12" s="59">
        <f>E11</f>
        <v>45850</v>
      </c>
      <c r="F12" s="59">
        <f>E12+2</f>
        <v>45852</v>
      </c>
      <c r="G12" s="13"/>
      <c r="H12" s="13">
        <f t="shared" si="3"/>
        <v>3</v>
      </c>
      <c r="I12" s="26"/>
      <c r="J12" s="26"/>
      <c r="K12" s="26"/>
      <c r="L12" s="26"/>
      <c r="M12" s="26"/>
      <c r="N12" s="26"/>
      <c r="O12" s="26"/>
      <c r="P12" s="26"/>
      <c r="Q12" s="26"/>
      <c r="R12" s="26"/>
      <c r="S12" s="26"/>
      <c r="T12" s="26"/>
      <c r="U12" s="26"/>
      <c r="V12" s="26"/>
      <c r="W12" s="26"/>
      <c r="X12" s="26"/>
      <c r="Y12" s="27"/>
      <c r="Z12" s="26"/>
      <c r="AA12" s="26"/>
      <c r="AB12" s="26"/>
      <c r="AC12" s="26"/>
      <c r="AD12" s="26"/>
      <c r="AE12" s="26"/>
      <c r="AF12" s="26"/>
      <c r="AG12" s="26"/>
      <c r="AH12" s="26"/>
      <c r="AI12" s="26"/>
      <c r="AJ12" s="26"/>
      <c r="AK12" s="26"/>
      <c r="AL12" s="26"/>
      <c r="AM12" s="26"/>
      <c r="AN12" s="26"/>
      <c r="AO12" s="26"/>
      <c r="AP12" s="26"/>
      <c r="AQ12" s="26"/>
    </row>
    <row r="13" spans="1:45" s="3" customFormat="1" ht="30" customHeight="1" thickBot="1" x14ac:dyDescent="0.3">
      <c r="A13" s="40"/>
      <c r="B13" s="51" t="s">
        <v>33</v>
      </c>
      <c r="C13" s="47" t="s">
        <v>34</v>
      </c>
      <c r="D13" s="16">
        <v>1</v>
      </c>
      <c r="E13" s="59">
        <f>E10+7</f>
        <v>45855</v>
      </c>
      <c r="F13" s="59">
        <f>E13+1</f>
        <v>45856</v>
      </c>
      <c r="G13" s="13"/>
      <c r="H13" s="13">
        <f t="shared" si="3"/>
        <v>2</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row>
    <row r="14" spans="1:45" s="3" customFormat="1" ht="30" hidden="1" customHeight="1" thickBot="1" x14ac:dyDescent="0.3">
      <c r="A14" s="41" t="s">
        <v>35</v>
      </c>
      <c r="B14" s="17" t="s">
        <v>36</v>
      </c>
      <c r="C14" s="48"/>
      <c r="D14" s="18"/>
      <c r="E14" s="60"/>
      <c r="F14" s="61"/>
      <c r="G14" s="13"/>
      <c r="H14" s="13" t="str">
        <f t="shared" si="3"/>
        <v/>
      </c>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row>
    <row r="15" spans="1:45" s="3" customFormat="1" ht="30" customHeight="1" thickBot="1" x14ac:dyDescent="0.3">
      <c r="A15" s="41"/>
      <c r="B15" s="52" t="s">
        <v>37</v>
      </c>
      <c r="C15" s="49" t="s">
        <v>38</v>
      </c>
      <c r="D15" s="19">
        <v>1</v>
      </c>
      <c r="E15" s="62">
        <f>E13+1</f>
        <v>45856</v>
      </c>
      <c r="F15" s="62">
        <f>E15+3</f>
        <v>45859</v>
      </c>
      <c r="G15" s="13"/>
      <c r="H15" s="13">
        <f t="shared" si="3"/>
        <v>4</v>
      </c>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row>
    <row r="16" spans="1:45" s="3" customFormat="1" ht="30" customHeight="1" thickBot="1" x14ac:dyDescent="0.3">
      <c r="A16" s="40"/>
      <c r="B16" s="52" t="s">
        <v>39</v>
      </c>
      <c r="C16" s="49" t="s">
        <v>40</v>
      </c>
      <c r="D16" s="19">
        <v>1</v>
      </c>
      <c r="E16" s="62">
        <f>F15</f>
        <v>45859</v>
      </c>
      <c r="F16" s="62">
        <f>E16+3</f>
        <v>45862</v>
      </c>
      <c r="G16" s="13"/>
      <c r="H16" s="13">
        <f t="shared" si="3"/>
        <v>4</v>
      </c>
      <c r="I16" s="26"/>
      <c r="J16" s="26"/>
      <c r="K16" s="26"/>
      <c r="L16" s="26"/>
      <c r="M16" s="26"/>
      <c r="N16" s="26"/>
      <c r="O16" s="26"/>
      <c r="P16" s="26"/>
      <c r="Q16" s="26"/>
      <c r="R16" s="26"/>
      <c r="S16" s="26"/>
      <c r="T16" s="26"/>
      <c r="U16" s="27"/>
      <c r="V16" s="27"/>
      <c r="W16" s="26"/>
      <c r="X16" s="26"/>
      <c r="Y16" s="26"/>
      <c r="Z16" s="26"/>
      <c r="AA16" s="26"/>
      <c r="AB16" s="26"/>
      <c r="AC16" s="26"/>
      <c r="AD16" s="26"/>
      <c r="AE16" s="26"/>
      <c r="AF16" s="26"/>
      <c r="AG16" s="26"/>
      <c r="AH16" s="26"/>
      <c r="AI16" s="26"/>
      <c r="AJ16" s="26"/>
      <c r="AK16" s="26"/>
      <c r="AL16" s="26"/>
      <c r="AM16" s="26"/>
      <c r="AN16" s="26"/>
      <c r="AO16" s="26"/>
      <c r="AP16" s="26"/>
      <c r="AQ16" s="26"/>
    </row>
    <row r="17" spans="1:43" s="3" customFormat="1" ht="30" customHeight="1" thickBot="1" x14ac:dyDescent="0.3">
      <c r="A17" s="40"/>
      <c r="B17" s="52" t="s">
        <v>41</v>
      </c>
      <c r="C17" s="49" t="s">
        <v>40</v>
      </c>
      <c r="D17" s="19">
        <v>1</v>
      </c>
      <c r="E17" s="62">
        <f>F16</f>
        <v>45862</v>
      </c>
      <c r="F17" s="62">
        <f>E17+1</f>
        <v>45863</v>
      </c>
      <c r="G17" s="13"/>
      <c r="H17" s="13">
        <f t="shared" si="3"/>
        <v>2</v>
      </c>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row>
    <row r="18" spans="1:43" s="3" customFormat="1" ht="30" customHeight="1" thickBot="1" x14ac:dyDescent="0.3">
      <c r="A18" s="40"/>
      <c r="B18" s="52" t="s">
        <v>42</v>
      </c>
      <c r="C18" s="49" t="s">
        <v>40</v>
      </c>
      <c r="D18" s="19">
        <v>1</v>
      </c>
      <c r="E18" s="62">
        <f>F17+0</f>
        <v>45863</v>
      </c>
      <c r="F18" s="62">
        <f>E18+1</f>
        <v>45864</v>
      </c>
      <c r="G18" s="13"/>
      <c r="H18" s="13">
        <f t="shared" si="3"/>
        <v>2</v>
      </c>
      <c r="I18" s="26"/>
      <c r="J18" s="26"/>
      <c r="K18" s="26"/>
      <c r="L18" s="26"/>
      <c r="M18" s="26"/>
      <c r="N18" s="26"/>
      <c r="O18" s="26"/>
      <c r="P18" s="26"/>
      <c r="Q18" s="26"/>
      <c r="R18" s="26"/>
      <c r="S18" s="26"/>
      <c r="T18" s="26"/>
      <c r="U18" s="26"/>
      <c r="V18" s="26"/>
      <c r="W18" s="26"/>
      <c r="X18" s="26"/>
      <c r="Y18" s="27"/>
      <c r="Z18" s="26"/>
      <c r="AA18" s="26"/>
      <c r="AB18" s="26"/>
      <c r="AC18" s="26"/>
      <c r="AD18" s="26"/>
      <c r="AE18" s="26"/>
      <c r="AF18" s="26"/>
      <c r="AG18" s="26"/>
      <c r="AH18" s="26"/>
      <c r="AI18" s="26"/>
      <c r="AJ18" s="26"/>
      <c r="AK18" s="26"/>
      <c r="AL18" s="26"/>
      <c r="AM18" s="26"/>
      <c r="AN18" s="26"/>
      <c r="AO18" s="26"/>
      <c r="AP18" s="26"/>
      <c r="AQ18" s="26"/>
    </row>
    <row r="19" spans="1:43" s="3" customFormat="1" ht="30" customHeight="1" thickBot="1" x14ac:dyDescent="0.3">
      <c r="A19" s="40"/>
      <c r="B19" s="52" t="s">
        <v>43</v>
      </c>
      <c r="C19" s="49" t="s">
        <v>28</v>
      </c>
      <c r="D19" s="19">
        <v>1</v>
      </c>
      <c r="E19" s="62">
        <v>45856</v>
      </c>
      <c r="F19" s="62">
        <v>45859</v>
      </c>
      <c r="G19" s="13"/>
      <c r="H19" s="13">
        <f t="shared" si="3"/>
        <v>4</v>
      </c>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row>
    <row r="20" spans="1:43" s="3" customFormat="1" ht="30" hidden="1" customHeight="1" thickBot="1" x14ac:dyDescent="0.3">
      <c r="A20" s="40" t="s">
        <v>44</v>
      </c>
      <c r="B20" s="20" t="s">
        <v>45</v>
      </c>
      <c r="C20" s="50"/>
      <c r="D20" s="21"/>
      <c r="E20" s="63"/>
      <c r="F20" s="64"/>
      <c r="G20" s="13"/>
      <c r="H20" s="13" t="str">
        <f t="shared" si="3"/>
        <v/>
      </c>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row>
    <row r="21" spans="1:43" s="3" customFormat="1" ht="30" customHeight="1" thickBot="1" x14ac:dyDescent="0.3">
      <c r="A21" s="40" t="s">
        <v>46</v>
      </c>
      <c r="B21" s="52" t="s">
        <v>62</v>
      </c>
      <c r="C21" s="49" t="s">
        <v>25</v>
      </c>
      <c r="D21" s="19">
        <v>1</v>
      </c>
      <c r="E21" s="62">
        <v>45863</v>
      </c>
      <c r="F21" s="62">
        <v>45925</v>
      </c>
      <c r="G21" s="13"/>
      <c r="H21" s="13">
        <f t="shared" si="3"/>
        <v>63</v>
      </c>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row>
    <row r="22" spans="1:43" s="3" customFormat="1" ht="30" customHeight="1" thickBot="1" x14ac:dyDescent="0.3">
      <c r="A22" s="41" t="s">
        <v>47</v>
      </c>
      <c r="B22" s="22" t="s">
        <v>48</v>
      </c>
      <c r="C22" s="23"/>
      <c r="D22" s="24"/>
      <c r="E22" s="65"/>
      <c r="F22" s="66"/>
      <c r="G22" s="25"/>
      <c r="H22" s="25" t="str">
        <f t="shared" si="3"/>
        <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row>
    <row r="23" spans="1:43" ht="30" customHeight="1" x14ac:dyDescent="0.25">
      <c r="G23" s="6"/>
    </row>
    <row r="24" spans="1:43" ht="30" customHeight="1" x14ac:dyDescent="0.25">
      <c r="C24" s="11"/>
      <c r="F24" s="42"/>
    </row>
    <row r="25" spans="1:43" ht="30" customHeight="1" x14ac:dyDescent="0.25">
      <c r="C25" s="12"/>
    </row>
  </sheetData>
  <mergeCells count="8">
    <mergeCell ref="C3:D3"/>
    <mergeCell ref="C4:D4"/>
    <mergeCell ref="AK4:AQ4"/>
    <mergeCell ref="E3:F3"/>
    <mergeCell ref="I4:O4"/>
    <mergeCell ref="P4:V4"/>
    <mergeCell ref="W4:AC4"/>
    <mergeCell ref="AD4:AJ4"/>
  </mergeCells>
  <conditionalFormatting sqref="D7:D2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AP22">
    <cfRule type="expression" dxfId="4" priority="33">
      <formula>AND(TODAY()&gt;=I$5,TODAY()&lt;J$5)</formula>
    </cfRule>
  </conditionalFormatting>
  <conditionalFormatting sqref="I7:AP22">
    <cfRule type="expression" dxfId="3" priority="28" stopIfTrue="1">
      <formula>AND(task_end&gt;=I$5,task_start&lt;J$5)</formula>
    </cfRule>
  </conditionalFormatting>
  <conditionalFormatting sqref="I7:AQ22">
    <cfRule type="expression" dxfId="2" priority="27">
      <formula>AND(task_start&lt;=I$5,ROUNDDOWN((task_end-task_start+1)*task_progress,0)+task_start-1&gt;=I$5)</formula>
    </cfRule>
  </conditionalFormatting>
  <conditionalFormatting sqref="AQ5:AQ22">
    <cfRule type="expression" dxfId="1" priority="35">
      <formula>AND(TODAY()&gt;=AQ$5,TODAY()&lt;#REF!)</formula>
    </cfRule>
  </conditionalFormatting>
  <conditionalFormatting sqref="AQ7:AQ22">
    <cfRule type="expression" dxfId="0" priority="39" stopIfTrue="1">
      <formula>AND(task_end&gt;=AQ$5,task_start&lt;#REF!)</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0" customWidth="1"/>
    <col min="2" max="16384" width="9.140625" style="2"/>
  </cols>
  <sheetData>
    <row r="1" spans="1:2" ht="46.5" customHeight="1" x14ac:dyDescent="0.2"/>
    <row r="2" spans="1:2" s="32" customFormat="1" ht="15.75" x14ac:dyDescent="0.25">
      <c r="A2" s="31" t="s">
        <v>2</v>
      </c>
      <c r="B2" s="31"/>
    </row>
    <row r="3" spans="1:2" s="36" customFormat="1" ht="27" customHeight="1" x14ac:dyDescent="0.25">
      <c r="A3" s="56" t="s">
        <v>5</v>
      </c>
      <c r="B3" s="37"/>
    </row>
    <row r="4" spans="1:2" s="33" customFormat="1" ht="26.25" x14ac:dyDescent="0.4">
      <c r="A4" s="34" t="s">
        <v>49</v>
      </c>
    </row>
    <row r="5" spans="1:2" ht="74.099999999999994" customHeight="1" x14ac:dyDescent="0.2">
      <c r="A5" s="35" t="s">
        <v>50</v>
      </c>
    </row>
    <row r="6" spans="1:2" ht="26.25" customHeight="1" x14ac:dyDescent="0.2">
      <c r="A6" s="34" t="s">
        <v>51</v>
      </c>
    </row>
    <row r="7" spans="1:2" s="30" customFormat="1" ht="222.75" customHeight="1" x14ac:dyDescent="0.25">
      <c r="A7" s="39" t="s">
        <v>52</v>
      </c>
    </row>
    <row r="8" spans="1:2" s="33" customFormat="1" ht="26.25" x14ac:dyDescent="0.4">
      <c r="A8" s="34" t="s">
        <v>53</v>
      </c>
    </row>
    <row r="9" spans="1:2" ht="75" x14ac:dyDescent="0.2">
      <c r="A9" s="35" t="s">
        <v>54</v>
      </c>
    </row>
    <row r="10" spans="1:2" s="30" customFormat="1" ht="27.95" customHeight="1" x14ac:dyDescent="0.25">
      <c r="A10" s="38" t="s">
        <v>55</v>
      </c>
    </row>
    <row r="11" spans="1:2" s="33" customFormat="1" ht="26.25" x14ac:dyDescent="0.4">
      <c r="A11" s="34" t="s">
        <v>56</v>
      </c>
    </row>
    <row r="12" spans="1:2" ht="45" x14ac:dyDescent="0.2">
      <c r="A12" s="35" t="s">
        <v>57</v>
      </c>
    </row>
    <row r="13" spans="1:2" s="30" customFormat="1" ht="27.95" customHeight="1" x14ac:dyDescent="0.25">
      <c r="A13" s="38" t="s">
        <v>58</v>
      </c>
    </row>
    <row r="14" spans="1:2" s="33" customFormat="1" ht="26.25" x14ac:dyDescent="0.4">
      <c r="A14" s="34" t="s">
        <v>59</v>
      </c>
    </row>
    <row r="15" spans="1:2" ht="75" customHeight="1" x14ac:dyDescent="0.2">
      <c r="A15" s="35" t="s">
        <v>60</v>
      </c>
    </row>
    <row r="16" spans="1:2" ht="90" x14ac:dyDescent="0.2">
      <c r="A16" s="35" t="s">
        <v>61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EC760C13B5912489B043DE723641228" ma:contentTypeVersion="3" ma:contentTypeDescription="Ein neues Dokument erstellen." ma:contentTypeScope="" ma:versionID="157c09fd7c4406ce04f902ddbd04b359">
  <xsd:schema xmlns:xsd="http://www.w3.org/2001/XMLSchema" xmlns:xs="http://www.w3.org/2001/XMLSchema" xmlns:p="http://schemas.microsoft.com/office/2006/metadata/properties" xmlns:ns2="0bfd4f1d-4508-411e-91d3-79888b56e961" targetNamespace="http://schemas.microsoft.com/office/2006/metadata/properties" ma:root="true" ma:fieldsID="617b39dfd9b1e5c953c2a874923bfbd0" ns2:_="">
    <xsd:import namespace="0bfd4f1d-4508-411e-91d3-79888b56e96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fd4f1d-4508-411e-91d3-79888b56e9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909DE7-ABB9-465E-AEEF-190EE5A0F9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fd4f1d-4508-411e-91d3-79888b56e9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2025-07-30T11:12:11Z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0x0101005EC760C13B5912489B043DE723641228</vt:lpwstr>
  </property>
</Properties>
</file>